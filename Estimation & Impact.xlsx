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wati\OneDrive\Desktop\GitHub\ecommerce-marketing-funnel-analysis\"/>
    </mc:Choice>
  </mc:AlternateContent>
  <xr:revisionPtr revIDLastSave="0" documentId="8_{4D116D8B-EBE1-480A-8D5E-3730E707834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act Estimation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6" l="1"/>
  <c r="I13" i="6" s="1"/>
  <c r="G11" i="6"/>
  <c r="G13" i="6" s="1"/>
  <c r="D11" i="6"/>
  <c r="D13" i="6" s="1"/>
  <c r="B11" i="6"/>
  <c r="B13" i="6" s="1"/>
  <c r="B15" i="6" l="1"/>
  <c r="B16" i="6" s="1"/>
  <c r="G15" i="6"/>
  <c r="G16" i="6" s="1"/>
  <c r="G19" i="6" l="1"/>
  <c r="B19" i="6"/>
</calcChain>
</file>

<file path=xl/sharedStrings.xml><?xml version="1.0" encoding="utf-8"?>
<sst xmlns="http://schemas.openxmlformats.org/spreadsheetml/2006/main" count="40" uniqueCount="21">
  <si>
    <t>conversion</t>
  </si>
  <si>
    <t>Impact Estimation</t>
  </si>
  <si>
    <t>brand funnel (2012-2014)</t>
  </si>
  <si>
    <t>nonbrand funnel (2012-2014)</t>
  </si>
  <si>
    <t>Total Sessions</t>
  </si>
  <si>
    <t>progress rate of landing to product</t>
  </si>
  <si>
    <t>progress rate of product to specific prod</t>
  </si>
  <si>
    <t xml:space="preserve">progress rate of specific product to cart </t>
  </si>
  <si>
    <t>progress rate of cart to shipping(old)</t>
  </si>
  <si>
    <t>progress rate of cart to shipping (improved)</t>
  </si>
  <si>
    <t>AOV brand( USD/orders)</t>
  </si>
  <si>
    <t>orders</t>
  </si>
  <si>
    <t>orders with improved rate</t>
  </si>
  <si>
    <t>revenue estimate</t>
  </si>
  <si>
    <t>orders x aov</t>
  </si>
  <si>
    <t>revenue estimate with improved rate</t>
  </si>
  <si>
    <t>orders improved x aov</t>
  </si>
  <si>
    <t>Uplift factor F</t>
  </si>
  <si>
    <t>percentage uplift(F-1)*100</t>
  </si>
  <si>
    <t>actual 3 year brand revenue</t>
  </si>
  <si>
    <t>increment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</si>
</sst>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0.0000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2" fillId="0" borderId="0" xfId="0" applyFont="1"/>
    <xf numFmtId="0" fontId="1" fillId="0" borderId="4" xfId="0" applyFont="1" applyBorder="1" applyAlignment="1">
      <alignment wrapText="1"/>
    </xf>
    <xf numFmtId="0" fontId="2" fillId="0" borderId="5" xfId="0" applyFont="1" applyBorder="1"/>
    <xf numFmtId="0" fontId="2" fillId="0" borderId="0" xfId="0" applyFont="1" applyAlignment="1">
      <alignment wrapText="1"/>
    </xf>
    <xf numFmtId="2" fontId="1" fillId="0" borderId="0" xfId="0" applyNumberFormat="1" applyFont="1"/>
    <xf numFmtId="0" fontId="2" fillId="0" borderId="4" xfId="0" applyFont="1" applyBorder="1" applyAlignment="1">
      <alignment wrapText="1"/>
    </xf>
    <xf numFmtId="2" fontId="1" fillId="0" borderId="5" xfId="0" applyNumberFormat="1" applyFont="1" applyBorder="1"/>
    <xf numFmtId="0" fontId="2" fillId="0" borderId="4" xfId="0" applyFont="1" applyBorder="1"/>
    <xf numFmtId="2" fontId="2" fillId="2" borderId="0" xfId="0" applyNumberFormat="1" applyFont="1" applyFill="1"/>
    <xf numFmtId="2" fontId="2" fillId="0" borderId="5" xfId="0" applyNumberFormat="1" applyFont="1" applyBorder="1"/>
    <xf numFmtId="165" fontId="1" fillId="0" borderId="0" xfId="0" applyNumberFormat="1" applyFont="1"/>
    <xf numFmtId="0" fontId="2" fillId="0" borderId="6" xfId="0" applyFont="1" applyBorder="1"/>
    <xf numFmtId="2" fontId="1" fillId="2" borderId="7" xfId="0" applyNumberFormat="1" applyFont="1" applyFill="1" applyBorder="1"/>
    <xf numFmtId="0" fontId="1" fillId="0" borderId="7" xfId="0" applyFont="1" applyBorder="1"/>
    <xf numFmtId="0" fontId="1" fillId="0" borderId="8" xfId="0" applyFont="1" applyBorder="1"/>
  </cellXfs>
  <cellStyles count="1">
    <cellStyle name="Normal" xfId="0" builtinId="0"/>
  </cellStyles>
  <dxfs count="32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8">
    <tableStyle name="Sheet3-style" pivot="0" count="4" xr9:uid="{00000000-0011-0000-FFFF-FFFF00000000}">
      <tableStyleElement type="wholeTable" size="0" dxfId="28"/>
      <tableStyleElement type="headerRow" dxfId="31"/>
      <tableStyleElement type="firstRowStripe" dxfId="30"/>
      <tableStyleElement type="secondRowStripe" dxfId="29"/>
    </tableStyle>
    <tableStyle name="Sheet3-style 2" pivot="0" count="4" xr9:uid="{00000000-0011-0000-FFFF-FFFF01000000}">
      <tableStyleElement type="wholeTable" size="0" dxfId="24"/>
      <tableStyleElement type="headerRow" dxfId="27"/>
      <tableStyleElement type="firstRowStripe" dxfId="26"/>
      <tableStyleElement type="secondRowStripe" dxfId="25"/>
    </tableStyle>
    <tableStyle name="Sheet3-style 3" pivot="0" count="4" xr9:uid="{00000000-0011-0000-FFFF-FFFF02000000}">
      <tableStyleElement type="wholeTable" size="0" dxfId="20"/>
      <tableStyleElement type="headerRow" dxfId="23"/>
      <tableStyleElement type="firstRowStripe" dxfId="22"/>
      <tableStyleElement type="secondRowStripe" dxfId="21"/>
    </tableStyle>
    <tableStyle name="Sheet3-style 4" pivot="0" count="4" xr9:uid="{00000000-0011-0000-FFFF-FFFF03000000}">
      <tableStyleElement type="wholeTable" size="0" dxfId="16"/>
      <tableStyleElement type="headerRow" dxfId="19"/>
      <tableStyleElement type="firstRowStripe" dxfId="18"/>
      <tableStyleElement type="secondRowStripe" dxfId="17"/>
    </tableStyle>
    <tableStyle name="Final Initial Analysis-style" pivot="0" count="4" xr9:uid="{00000000-0011-0000-FFFF-FFFF04000000}">
      <tableStyleElement type="wholeTable" size="0" dxfId="12"/>
      <tableStyleElement type="headerRow" dxfId="15"/>
      <tableStyleElement type="firstRowStripe" dxfId="14"/>
      <tableStyleElement type="secondRowStripe" dxfId="13"/>
    </tableStyle>
    <tableStyle name="Final Initial Analysis-style 2" pivot="0" count="4" xr9:uid="{00000000-0011-0000-FFFF-FFFF05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Final Initial Analysis-style 3" pivot="0" count="4" xr9:uid="{00000000-0011-0000-FFFF-FFFF06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Final Initial Analysis-style 4" pivot="0" count="4" xr9:uid="{00000000-0011-0000-FFFF-FFFF07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19"/>
  <sheetViews>
    <sheetView tabSelected="1" workbookViewId="0">
      <selection activeCell="C11" sqref="C11"/>
    </sheetView>
  </sheetViews>
  <sheetFormatPr defaultColWidth="12.6328125" defaultRowHeight="15.75" customHeight="1" x14ac:dyDescent="0.25"/>
  <cols>
    <col min="1" max="1" width="26.453125" customWidth="1"/>
    <col min="3" max="3" width="18.6328125" customWidth="1"/>
    <col min="4" max="4" width="21.36328125" customWidth="1"/>
    <col min="6" max="6" width="26.453125" customWidth="1"/>
    <col min="7" max="7" width="17" customWidth="1"/>
    <col min="8" max="8" width="19.36328125" customWidth="1"/>
    <col min="9" max="9" width="27.26953125" customWidth="1"/>
  </cols>
  <sheetData>
    <row r="1" spans="1:9" ht="12" customHeight="1" x14ac:dyDescent="0.3">
      <c r="A1" s="3" t="s">
        <v>1</v>
      </c>
      <c r="B1" s="4"/>
      <c r="C1" s="4"/>
      <c r="D1" s="5"/>
      <c r="F1" s="3" t="s">
        <v>1</v>
      </c>
      <c r="G1" s="4"/>
      <c r="H1" s="4"/>
      <c r="I1" s="5"/>
    </row>
    <row r="2" spans="1:9" ht="15.5" hidden="1" customHeight="1" x14ac:dyDescent="0.25">
      <c r="A2" s="6" t="s">
        <v>2</v>
      </c>
      <c r="D2" s="7"/>
      <c r="F2" s="6" t="s">
        <v>3</v>
      </c>
      <c r="I2" s="7"/>
    </row>
    <row r="3" spans="1:9" ht="19" customHeight="1" x14ac:dyDescent="0.3">
      <c r="A3" s="6" t="s">
        <v>4</v>
      </c>
      <c r="B3" s="8">
        <v>33940</v>
      </c>
      <c r="D3" s="7"/>
      <c r="F3" s="6" t="s">
        <v>4</v>
      </c>
      <c r="G3" s="8">
        <v>295636</v>
      </c>
      <c r="I3" s="7"/>
    </row>
    <row r="4" spans="1:9" ht="40.5" customHeight="1" x14ac:dyDescent="0.25">
      <c r="A4" s="9" t="s">
        <v>5</v>
      </c>
      <c r="B4" s="1">
        <v>0.60640000000000005</v>
      </c>
      <c r="D4" s="7"/>
      <c r="F4" s="9" t="s">
        <v>5</v>
      </c>
      <c r="G4" s="1">
        <v>0.5363</v>
      </c>
      <c r="I4" s="7"/>
    </row>
    <row r="5" spans="1:9" ht="49" customHeight="1" x14ac:dyDescent="0.25">
      <c r="A5" s="9" t="s">
        <v>6</v>
      </c>
      <c r="B5" s="1">
        <v>0.79869999999999997</v>
      </c>
      <c r="D5" s="7"/>
      <c r="F5" s="9" t="s">
        <v>6</v>
      </c>
      <c r="G5" s="1">
        <v>0.79530000000000001</v>
      </c>
      <c r="I5" s="7"/>
    </row>
    <row r="6" spans="1:9" ht="44.5" customHeight="1" x14ac:dyDescent="0.3">
      <c r="A6" s="9" t="s">
        <v>7</v>
      </c>
      <c r="B6" s="1">
        <v>0.44900000000000001</v>
      </c>
      <c r="C6" s="2"/>
      <c r="D6" s="10"/>
      <c r="F6" s="9" t="s">
        <v>7</v>
      </c>
      <c r="G6" s="1">
        <v>0.44800000000000001</v>
      </c>
      <c r="H6" s="2"/>
      <c r="I6" s="10"/>
    </row>
    <row r="7" spans="1:9" ht="54.5" customHeight="1" x14ac:dyDescent="0.3">
      <c r="A7" s="9" t="s">
        <v>8</v>
      </c>
      <c r="B7" s="1">
        <v>0.68200000000000005</v>
      </c>
      <c r="C7" s="11" t="s">
        <v>9</v>
      </c>
      <c r="D7" s="10">
        <v>0.8</v>
      </c>
      <c r="F7" s="9" t="s">
        <v>8</v>
      </c>
      <c r="G7" s="1">
        <v>0.67800000000000005</v>
      </c>
      <c r="H7" s="11" t="s">
        <v>9</v>
      </c>
      <c r="I7" s="10">
        <v>0.8</v>
      </c>
    </row>
    <row r="8" spans="1:9" ht="15.75" customHeight="1" x14ac:dyDescent="0.25">
      <c r="A8" s="6" t="s">
        <v>0</v>
      </c>
      <c r="B8" s="12">
        <v>0.51459999999999995</v>
      </c>
      <c r="C8" s="2"/>
      <c r="D8" s="7"/>
      <c r="F8" s="6" t="s">
        <v>0</v>
      </c>
      <c r="G8" s="12">
        <v>0.495</v>
      </c>
      <c r="H8" s="2"/>
      <c r="I8" s="7"/>
    </row>
    <row r="9" spans="1:9" x14ac:dyDescent="0.3">
      <c r="A9" s="13" t="s">
        <v>10</v>
      </c>
      <c r="B9" s="1">
        <v>60.18</v>
      </c>
      <c r="D9" s="7"/>
      <c r="F9" s="13" t="s">
        <v>10</v>
      </c>
      <c r="G9" s="1">
        <v>59.07</v>
      </c>
      <c r="I9" s="7"/>
    </row>
    <row r="10" spans="1:9" ht="15.75" customHeight="1" x14ac:dyDescent="0.25">
      <c r="A10" s="6"/>
      <c r="D10" s="7"/>
      <c r="F10" s="6"/>
      <c r="I10" s="7"/>
    </row>
    <row r="11" spans="1:9" ht="46.5" customHeight="1" x14ac:dyDescent="0.25">
      <c r="A11" s="6" t="s">
        <v>11</v>
      </c>
      <c r="B11" s="12">
        <f>B3*B4*B5*B6*B7*B8</f>
        <v>2590.3306990207557</v>
      </c>
      <c r="C11" s="2" t="s">
        <v>12</v>
      </c>
      <c r="D11" s="14">
        <f>B3*B4*B5*B6*D7*B8</f>
        <v>3038.5110838953146</v>
      </c>
      <c r="F11" s="6" t="s">
        <v>11</v>
      </c>
      <c r="G11" s="12">
        <f>G3*G4*G5*G6*G7*G8</f>
        <v>18958.719617455048</v>
      </c>
      <c r="H11" s="2" t="s">
        <v>12</v>
      </c>
      <c r="I11" s="14">
        <f>G3*G4*G5*G6*I7*G8</f>
        <v>22370.170640064953</v>
      </c>
    </row>
    <row r="12" spans="1:9" x14ac:dyDescent="0.3">
      <c r="A12" s="15" t="s">
        <v>13</v>
      </c>
      <c r="B12" s="1" t="s">
        <v>14</v>
      </c>
      <c r="C12" s="2" t="s">
        <v>15</v>
      </c>
      <c r="D12" s="7" t="s">
        <v>16</v>
      </c>
      <c r="F12" s="15" t="s">
        <v>13</v>
      </c>
      <c r="G12" s="1" t="s">
        <v>14</v>
      </c>
      <c r="H12" s="2" t="s">
        <v>15</v>
      </c>
      <c r="I12" s="7" t="s">
        <v>16</v>
      </c>
    </row>
    <row r="13" spans="1:9" x14ac:dyDescent="0.3">
      <c r="A13" s="6"/>
      <c r="B13" s="16">
        <f>B11*B9</f>
        <v>155886.10146706906</v>
      </c>
      <c r="D13" s="17">
        <f>D11*B9</f>
        <v>182857.59702882005</v>
      </c>
      <c r="F13" s="6"/>
      <c r="G13" s="16">
        <f>(G11*G9)</f>
        <v>1119891.5678030697</v>
      </c>
      <c r="I13" s="17">
        <f>I11*G9</f>
        <v>1321405.9797086369</v>
      </c>
    </row>
    <row r="14" spans="1:9" ht="15.75" customHeight="1" x14ac:dyDescent="0.25">
      <c r="A14" s="9"/>
      <c r="D14" s="7"/>
      <c r="F14" s="9"/>
      <c r="I14" s="7"/>
    </row>
    <row r="15" spans="1:9" ht="15.75" customHeight="1" x14ac:dyDescent="0.25">
      <c r="A15" s="6" t="s">
        <v>17</v>
      </c>
      <c r="B15" s="18">
        <f>D13/B13</f>
        <v>1.1730205278592378</v>
      </c>
      <c r="D15" s="7"/>
      <c r="F15" s="6" t="s">
        <v>17</v>
      </c>
      <c r="G15" s="18">
        <f>I13/G13</f>
        <v>1.1799410029498525</v>
      </c>
      <c r="I15" s="7"/>
    </row>
    <row r="16" spans="1:9" ht="15.75" customHeight="1" x14ac:dyDescent="0.25">
      <c r="A16" s="9" t="s">
        <v>18</v>
      </c>
      <c r="B16" s="12">
        <f>(B15-1)*100</f>
        <v>17.302052785923784</v>
      </c>
      <c r="D16" s="7"/>
      <c r="F16" s="9" t="s">
        <v>18</v>
      </c>
      <c r="G16" s="12">
        <f>(G15-1)*100</f>
        <v>17.994100294985248</v>
      </c>
      <c r="I16" s="7"/>
    </row>
    <row r="17" spans="1:9" ht="15.75" customHeight="1" x14ac:dyDescent="0.25">
      <c r="A17" s="6"/>
      <c r="D17" s="7"/>
      <c r="F17" s="6"/>
      <c r="I17" s="7"/>
    </row>
    <row r="18" spans="1:9" x14ac:dyDescent="0.3">
      <c r="A18" s="15" t="s">
        <v>19</v>
      </c>
      <c r="B18" s="16">
        <v>155874.01999999999</v>
      </c>
      <c r="D18" s="7"/>
      <c r="F18" s="15" t="s">
        <v>19</v>
      </c>
      <c r="G18" s="16">
        <v>1124477.6599999999</v>
      </c>
      <c r="I18" s="7"/>
    </row>
    <row r="19" spans="1:9" x14ac:dyDescent="0.3">
      <c r="A19" s="19" t="s">
        <v>20</v>
      </c>
      <c r="B19" s="20">
        <f>D13*(B15-1)</f>
        <v>31638.117960998243</v>
      </c>
      <c r="C19" s="21"/>
      <c r="D19" s="22"/>
      <c r="F19" s="19" t="s">
        <v>20</v>
      </c>
      <c r="G19" s="20">
        <f>I13*(G15-1)</f>
        <v>237775.11729270456</v>
      </c>
      <c r="H19" s="21"/>
      <c r="I19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Impact Estimation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Rutuja Deo</dc:creator>
  <cp:lastModifiedBy>Swati Deo</cp:lastModifiedBy>
  <dcterms:created xsi:type="dcterms:W3CDTF">2026-01-08T14:17:42Z</dcterms:created>
  <dcterms:modified xsi:type="dcterms:W3CDTF">2026-01-08T14:17:42Z</dcterms:modified>
</cp:coreProperties>
</file>