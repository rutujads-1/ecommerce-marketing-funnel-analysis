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wati\OneDrive\Desktop\GitHub\ecommerce-marketing-funnel-analysis\"/>
    </mc:Choice>
  </mc:AlternateContent>
  <xr:revisionPtr revIDLastSave="0" documentId="8_{404F6266-E59C-4425-A085-9673BE20FE0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Impact Estimation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" i="4" l="1"/>
  <c r="D13" i="4" s="1"/>
  <c r="B11" i="4"/>
  <c r="B13" i="4" s="1"/>
  <c r="B15" i="4" l="1"/>
  <c r="B16" i="4" s="1"/>
  <c r="B19" i="4" l="1"/>
</calcChain>
</file>

<file path=xl/sharedStrings.xml><?xml version="1.0" encoding="utf-8"?>
<sst xmlns="http://schemas.openxmlformats.org/spreadsheetml/2006/main" count="21" uniqueCount="21">
  <si>
    <t>conversion</t>
  </si>
  <si>
    <t>Impact Estimation</t>
  </si>
  <si>
    <t>brand funnel (2012-2014)</t>
  </si>
  <si>
    <t>Total Sessions</t>
  </si>
  <si>
    <t>progress rate of landing to product</t>
  </si>
  <si>
    <t>progress rate of product to specific prod</t>
  </si>
  <si>
    <t>progress rate of specific product to cart (old)</t>
  </si>
  <si>
    <t>progress rate of specific product to cart (improved)</t>
  </si>
  <si>
    <t>progress rate of cart to shipping</t>
  </si>
  <si>
    <t>AOV brand( USD/orders)</t>
  </si>
  <si>
    <t>orders</t>
  </si>
  <si>
    <t>orders with improved rate</t>
  </si>
  <si>
    <t>revenue estimate</t>
  </si>
  <si>
    <t>orders x aov</t>
  </si>
  <si>
    <t>revenue estimate with improved rate</t>
  </si>
  <si>
    <t>orders improved x aov</t>
  </si>
  <si>
    <t>Uplift factor F</t>
  </si>
  <si>
    <t>percentage uplift(F-1)*100</t>
  </si>
  <si>
    <t>actual 3 year brand revenue</t>
  </si>
  <si>
    <t>increment</t>
  </si>
  <si>
    <r>
      <rPr>
        <b/>
        <sz val="10"/>
        <color rgb="FF000000"/>
        <rFont val="Arial"/>
        <family val="2"/>
        <scheme val="minor"/>
      </rPr>
      <t>Note:</t>
    </r>
    <r>
      <rPr>
        <sz val="10"/>
        <color rgb="FF000000"/>
        <rFont val="Arial"/>
        <scheme val="minor"/>
      </rPr>
      <t xml:space="preserve"> Impact estimates are based on conservative industry benchmarks and assume constant traffic volume, stable average order value, and improvement at a single funnel stage; results are directional and reflect associations observed in session-level data rather than causal effects.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</si>
</sst>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5" formatCode="0.0000"/>
  </numFmts>
  <fonts count="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b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2" fillId="0" borderId="0" xfId="0" applyFont="1"/>
    <xf numFmtId="0" fontId="2" fillId="0" borderId="0" xfId="0" applyFont="1" applyAlignment="1">
      <alignment wrapText="1"/>
    </xf>
    <xf numFmtId="2" fontId="1" fillId="0" borderId="0" xfId="0" applyNumberFormat="1" applyFont="1"/>
    <xf numFmtId="165" fontId="1" fillId="0" borderId="0" xfId="0" applyNumberFormat="1" applyFont="1"/>
    <xf numFmtId="0" fontId="1" fillId="2" borderId="0" xfId="0" applyFont="1" applyFill="1" applyAlignment="1">
      <alignment wrapText="1"/>
    </xf>
    <xf numFmtId="0" fontId="2" fillId="2" borderId="0" xfId="0" applyFont="1" applyFill="1"/>
    <xf numFmtId="2" fontId="2" fillId="2" borderId="0" xfId="0" applyNumberFormat="1" applyFont="1" applyFill="1"/>
    <xf numFmtId="0" fontId="1" fillId="2" borderId="0" xfId="0" applyFont="1" applyFill="1"/>
    <xf numFmtId="0" fontId="0" fillId="2" borderId="0" xfId="0" applyFill="1"/>
    <xf numFmtId="0" fontId="4" fillId="0" borderId="0" xfId="0" applyFont="1" applyAlignment="1">
      <alignment wrapText="1"/>
    </xf>
  </cellXfs>
  <cellStyles count="1">
    <cellStyle name="Normal" xfId="0" builtinId="0"/>
  </cellStyles>
  <dxfs count="16"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4">
    <tableStyle name="Sheet3-style" pivot="0" count="4" xr9:uid="{00000000-0011-0000-FFFF-FFFF00000000}">
      <tableStyleElement type="wholeTable" size="0" dxfId="12"/>
      <tableStyleElement type="headerRow" dxfId="15"/>
      <tableStyleElement type="firstRowStripe" dxfId="14"/>
      <tableStyleElement type="secondRowStripe" dxfId="13"/>
    </tableStyle>
    <tableStyle name="Sheet3-style 2" pivot="0" count="4" xr9:uid="{00000000-0011-0000-FFFF-FFFF01000000}">
      <tableStyleElement type="wholeTable" size="0" dxfId="8"/>
      <tableStyleElement type="headerRow" dxfId="11"/>
      <tableStyleElement type="firstRowStripe" dxfId="10"/>
      <tableStyleElement type="secondRowStripe" dxfId="9"/>
    </tableStyle>
    <tableStyle name="Sheet3-style 3" pivot="0" count="4" xr9:uid="{00000000-0011-0000-FFFF-FFFF02000000}">
      <tableStyleElement type="wholeTable" size="0" dxfId="4"/>
      <tableStyleElement type="headerRow" dxfId="7"/>
      <tableStyleElement type="firstRowStripe" dxfId="6"/>
      <tableStyleElement type="secondRowStripe" dxfId="5"/>
    </tableStyle>
    <tableStyle name="Sheet3-style 4" pivot="0" count="4" xr9:uid="{00000000-0011-0000-FFFF-FFFF03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D21"/>
  <sheetViews>
    <sheetView tabSelected="1" workbookViewId="0">
      <selection activeCell="B21" sqref="B21"/>
    </sheetView>
  </sheetViews>
  <sheetFormatPr defaultColWidth="12.6328125" defaultRowHeight="15.75" customHeight="1" x14ac:dyDescent="0.25"/>
  <cols>
    <col min="1" max="1" width="48.54296875" customWidth="1"/>
    <col min="2" max="2" width="19.1796875" customWidth="1"/>
    <col min="3" max="3" width="33.81640625" customWidth="1"/>
    <col min="4" max="4" width="21.36328125" customWidth="1"/>
  </cols>
  <sheetData>
    <row r="1" spans="1:4" x14ac:dyDescent="0.3">
      <c r="A1" s="3" t="s">
        <v>1</v>
      </c>
    </row>
    <row r="2" spans="1:4" ht="15.75" customHeight="1" x14ac:dyDescent="0.25">
      <c r="A2" s="1" t="s">
        <v>2</v>
      </c>
    </row>
    <row r="3" spans="1:4" x14ac:dyDescent="0.3">
      <c r="A3" s="1" t="s">
        <v>3</v>
      </c>
      <c r="B3" s="3">
        <v>33940</v>
      </c>
    </row>
    <row r="4" spans="1:4" ht="15.75" customHeight="1" x14ac:dyDescent="0.25">
      <c r="A4" s="2" t="s">
        <v>4</v>
      </c>
      <c r="B4" s="1">
        <v>0.60640000000000005</v>
      </c>
    </row>
    <row r="5" spans="1:4" ht="15.75" customHeight="1" x14ac:dyDescent="0.25">
      <c r="A5" s="2" t="s">
        <v>5</v>
      </c>
      <c r="B5" s="1">
        <v>0.79869999999999997</v>
      </c>
    </row>
    <row r="6" spans="1:4" ht="25.5" x14ac:dyDescent="0.3">
      <c r="A6" s="7" t="s">
        <v>6</v>
      </c>
      <c r="B6" s="8">
        <v>0.44900000000000001</v>
      </c>
      <c r="C6" s="7" t="s">
        <v>7</v>
      </c>
      <c r="D6" s="8">
        <v>0.5</v>
      </c>
    </row>
    <row r="7" spans="1:4" ht="15.75" customHeight="1" x14ac:dyDescent="0.25">
      <c r="A7" s="2" t="s">
        <v>8</v>
      </c>
      <c r="B7" s="1">
        <v>0.68200000000000005</v>
      </c>
    </row>
    <row r="8" spans="1:4" ht="15.75" customHeight="1" x14ac:dyDescent="0.25">
      <c r="A8" s="1" t="s">
        <v>0</v>
      </c>
      <c r="B8" s="1">
        <v>0.51459999999999995</v>
      </c>
    </row>
    <row r="9" spans="1:4" x14ac:dyDescent="0.3">
      <c r="A9" s="4" t="s">
        <v>9</v>
      </c>
      <c r="B9" s="1">
        <v>60.18</v>
      </c>
    </row>
    <row r="11" spans="1:4" ht="15.75" customHeight="1" x14ac:dyDescent="0.25">
      <c r="A11" s="1" t="s">
        <v>10</v>
      </c>
      <c r="B11" s="5">
        <f>B3*B4*B5*B6*B7*B8</f>
        <v>2590.3306990207557</v>
      </c>
      <c r="C11" s="2" t="s">
        <v>11</v>
      </c>
      <c r="D11" s="5">
        <f>B3*B4*B5*D6*B7*B8</f>
        <v>2884.5553441211086</v>
      </c>
    </row>
    <row r="12" spans="1:4" x14ac:dyDescent="0.3">
      <c r="A12" s="8" t="s">
        <v>12</v>
      </c>
      <c r="B12" s="10" t="s">
        <v>13</v>
      </c>
      <c r="C12" s="7" t="s">
        <v>14</v>
      </c>
      <c r="D12" s="10" t="s">
        <v>15</v>
      </c>
    </row>
    <row r="13" spans="1:4" x14ac:dyDescent="0.3">
      <c r="A13" s="11"/>
      <c r="B13" s="9">
        <f>B11*B9</f>
        <v>155886.10146706906</v>
      </c>
      <c r="C13" s="11"/>
      <c r="D13" s="9">
        <f>D11*B9</f>
        <v>173592.54060920831</v>
      </c>
    </row>
    <row r="14" spans="1:4" ht="15.75" customHeight="1" x14ac:dyDescent="0.25">
      <c r="A14" s="2"/>
    </row>
    <row r="15" spans="1:4" ht="15.75" customHeight="1" x14ac:dyDescent="0.25">
      <c r="A15" s="1" t="s">
        <v>16</v>
      </c>
      <c r="B15" s="6">
        <f>D13/B13</f>
        <v>1.1135857461024499</v>
      </c>
    </row>
    <row r="16" spans="1:4" ht="15.75" customHeight="1" x14ac:dyDescent="0.25">
      <c r="A16" s="2" t="s">
        <v>17</v>
      </c>
      <c r="B16" s="5">
        <f>(B15-1)*100</f>
        <v>11.358574610244986</v>
      </c>
    </row>
    <row r="18" spans="1:2" x14ac:dyDescent="0.3">
      <c r="A18" s="8" t="s">
        <v>18</v>
      </c>
      <c r="B18" s="9">
        <v>155874.01999999999</v>
      </c>
    </row>
    <row r="19" spans="1:2" x14ac:dyDescent="0.3">
      <c r="A19" s="3" t="s">
        <v>19</v>
      </c>
      <c r="B19" s="5">
        <f>D13*(B15-1)</f>
        <v>19717.638242916753</v>
      </c>
    </row>
    <row r="21" spans="1:2" ht="71" customHeight="1" x14ac:dyDescent="0.25">
      <c r="A21" s="1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Impact Estimation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Rutuja Deo</dc:creator>
  <cp:lastModifiedBy>Swati Deo</cp:lastModifiedBy>
  <dcterms:created xsi:type="dcterms:W3CDTF">2026-01-06T17:17:36Z</dcterms:created>
  <dcterms:modified xsi:type="dcterms:W3CDTF">2026-01-06T17:21:23Z</dcterms:modified>
</cp:coreProperties>
</file>